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tan/Library/CloudStorage/OneDrive-AlphaComs/"/>
    </mc:Choice>
  </mc:AlternateContent>
  <xr:revisionPtr revIDLastSave="0" documentId="8_{38FB0920-AC8F-9243-85F1-16749876AA3C}" xr6:coauthVersionLast="47" xr6:coauthVersionMax="47" xr10:uidLastSave="{00000000-0000-0000-0000-000000000000}"/>
  <bookViews>
    <workbookView xWindow="0" yWindow="0" windowWidth="28520" windowHeight="18000" xr2:uid="{16D6849A-8AC7-4901-A7B6-548E454A1B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2" i="1"/>
  <c r="I2" i="1" s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</calcChain>
</file>

<file path=xl/sharedStrings.xml><?xml version="1.0" encoding="utf-8"?>
<sst xmlns="http://schemas.openxmlformats.org/spreadsheetml/2006/main" count="133" uniqueCount="54">
  <si>
    <t>Month</t>
  </si>
  <si>
    <t>Party_Name</t>
  </si>
  <si>
    <t>Taxable_Value</t>
  </si>
  <si>
    <t>IGST</t>
  </si>
  <si>
    <t>CGST</t>
  </si>
  <si>
    <t>SGST</t>
  </si>
  <si>
    <t>Total_Value</t>
  </si>
  <si>
    <t>April</t>
  </si>
  <si>
    <t>May</t>
  </si>
  <si>
    <t>June</t>
  </si>
  <si>
    <t>August</t>
  </si>
  <si>
    <t>September</t>
  </si>
  <si>
    <t>October</t>
  </si>
  <si>
    <t>November</t>
  </si>
  <si>
    <t>December</t>
  </si>
  <si>
    <t>NETAL TRADERS</t>
  </si>
  <si>
    <t>PKG merchant</t>
  </si>
  <si>
    <t>SHIVA TRADERS</t>
  </si>
  <si>
    <t>M/S SOB Trading</t>
  </si>
  <si>
    <t>M/s Narayani Traders</t>
  </si>
  <si>
    <t xml:space="preserve">Total_Tax </t>
  </si>
  <si>
    <t>july</t>
  </si>
  <si>
    <t>HIBARE TRADERS</t>
  </si>
  <si>
    <t>M/s Shivaling Trading Company, General Merchant and Commission Agent</t>
  </si>
  <si>
    <t>AADYA TRADERS</t>
  </si>
  <si>
    <t>Rahul Trading Company</t>
  </si>
  <si>
    <t>Lokesh Karemunge CA</t>
  </si>
  <si>
    <t xml:space="preserve"> M/s Narayani Traders</t>
  </si>
  <si>
    <t>M/S DURGA
TRADING CO</t>
  </si>
  <si>
    <t>SAKSHI TRADING, GENRAL MEARCHANT</t>
  </si>
  <si>
    <t>M/S SRI BHUVANESHWARI TRADERS GENERAL MARCHANT</t>
  </si>
  <si>
    <t>M/s Kavita Agro Foods</t>
  </si>
  <si>
    <t>Sai Agro Foods</t>
  </si>
  <si>
    <t>NEW SHIVSHAKTI TRADING COMPANY</t>
  </si>
  <si>
    <t>SEJAL AGRO INDUSTRIES</t>
  </si>
  <si>
    <t>GSTIN_Masked</t>
  </si>
  <si>
    <t>29XXXXH8615KYYY</t>
  </si>
  <si>
    <t>29XXXXP8462CYYY</t>
  </si>
  <si>
    <t>29XXXXG9088RYYY</t>
  </si>
  <si>
    <t>29XXXXB7575BYYY</t>
  </si>
  <si>
    <t>29XXXXA4241EYYY</t>
  </si>
  <si>
    <t>29XXXXK9389GYYY</t>
  </si>
  <si>
    <t>29XXXXS4665HYYY</t>
  </si>
  <si>
    <t>29XXXXU7552DYYY</t>
  </si>
  <si>
    <t>29XXXXB6507CYYY</t>
  </si>
  <si>
    <t>29XXXXK8712LYYY</t>
  </si>
  <si>
    <t>29XXXXM1156J1YYY</t>
  </si>
  <si>
    <t>29XXXXM9395AYYY</t>
  </si>
  <si>
    <t>29XXXXK1344DYYY</t>
  </si>
  <si>
    <t>29XXXXS9153LYYY</t>
  </si>
  <si>
    <t>29XXXXB1373FYYY</t>
  </si>
  <si>
    <t>29XXXXS0830EYYY</t>
  </si>
  <si>
    <t>29XXXXH4589BYYY</t>
  </si>
  <si>
    <t>Month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</si>
</sst>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4">
    <dxf>
      <numFmt numFmtId="0" formatCode="General"/>
    </dxf>
    <dxf>
      <numFmt numFmtId="4" formatCode="#,##0.00"/>
    </dxf>
    <dxf>
      <numFmt numFmtId="4" formatCode="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4F02DC-B0C1-4EC7-94B6-D613B92AAC14}" name="GST_FY2526" displayName="GST_FY2526" ref="A1:J42" totalsRowShown="0">
  <autoFilter ref="A1:J42" xr:uid="{394F02DC-B0C1-4EC7-94B6-D613B92AAC14}"/>
  <tableColumns count="10">
    <tableColumn id="1" xr3:uid="{7CB78611-8836-46BD-A973-918DA49F8DC7}" name="Month"/>
    <tableColumn id="2" xr3:uid="{13871577-3DED-41B1-9B03-A06FBEE5C662}" name="Party_Name"/>
    <tableColumn id="3" xr3:uid="{273009D2-ED6C-48EB-8A3C-123D7627AE97}" name="GSTIN_Masked" dataDxfId="3"/>
    <tableColumn id="4" xr3:uid="{F51F4C6C-7447-4AF7-8CF7-EEA6DBA62CA0}" name="Taxable_Value"/>
    <tableColumn id="5" xr3:uid="{86FC255D-F220-41E0-9A9D-07F68C0A0F65}" name="IGST"/>
    <tableColumn id="6" xr3:uid="{34334312-EC01-426E-AF47-9273E1C7541E}" name="CGST"/>
    <tableColumn id="7" xr3:uid="{EFC9C4D2-90FA-479D-80F7-2A116FCEEC7C}" name="SGST"/>
    <tableColumn id="8" xr3:uid="{12A94C3A-9523-4AB9-9337-471C39D8B1B9}" name="Total_Tax " dataDxfId="2">
      <calculatedColumnFormula>E2+F2+G2</calculatedColumnFormula>
    </tableColumn>
    <tableColumn id="9" xr3:uid="{EEB948D5-CF9A-4BE1-9B03-546CBB6AD169}" name="Total_Value" dataDxfId="1">
      <calculatedColumnFormula>D2+H2</calculatedColumnFormula>
    </tableColumn>
    <tableColumn id="11" xr3:uid="{88C1A384-20EC-485C-944F-99093D981970}" name="Month Number" dataDxfId="0">
      <calculatedColumnFormula>MONTH(DATEVALUE(GST_FY2526[[#This Row],[Month]]&amp;" 1"))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8B77B-5241-45FB-87E3-30EF5380F48E}">
  <dimension ref="A1:J42"/>
  <sheetViews>
    <sheetView tabSelected="1" zoomScale="102" workbookViewId="0">
      <selection activeCell="L27" sqref="L27"/>
    </sheetView>
  </sheetViews>
  <sheetFormatPr baseColWidth="10" defaultColWidth="8.83203125" defaultRowHeight="15" x14ac:dyDescent="0.2"/>
  <cols>
    <col min="1" max="1" width="12.33203125" customWidth="1"/>
    <col min="2" max="2" width="15" customWidth="1"/>
    <col min="3" max="3" width="18" customWidth="1"/>
    <col min="4" max="4" width="15.1640625" customWidth="1"/>
    <col min="6" max="6" width="15" customWidth="1"/>
    <col min="7" max="7" width="10.1640625" customWidth="1"/>
    <col min="8" max="8" width="12.83203125" customWidth="1"/>
    <col min="9" max="9" width="15.6640625" customWidth="1"/>
    <col min="10" max="10" width="16.83203125" customWidth="1"/>
  </cols>
  <sheetData>
    <row r="1" spans="1:10" x14ac:dyDescent="0.2">
      <c r="A1" t="s">
        <v>0</v>
      </c>
      <c r="B1" t="s">
        <v>1</v>
      </c>
      <c r="C1" t="s">
        <v>35</v>
      </c>
      <c r="D1" t="s">
        <v>2</v>
      </c>
      <c r="E1" t="s">
        <v>3</v>
      </c>
      <c r="F1" t="s">
        <v>4</v>
      </c>
      <c r="G1" t="s">
        <v>5</v>
      </c>
      <c r="H1" t="s">
        <v>20</v>
      </c>
      <c r="I1" t="s">
        <v>6</v>
      </c>
      <c r="J1" t="s">
        <v>53</v>
      </c>
    </row>
    <row r="2" spans="1:10" x14ac:dyDescent="0.2">
      <c r="A2" t="s">
        <v>7</v>
      </c>
      <c r="B2" t="s">
        <v>15</v>
      </c>
      <c r="C2" t="s">
        <v>36</v>
      </c>
      <c r="D2" s="1">
        <v>64467</v>
      </c>
      <c r="E2">
        <v>0</v>
      </c>
      <c r="F2" s="1">
        <v>1611.68</v>
      </c>
      <c r="G2" s="1">
        <v>1611.68</v>
      </c>
      <c r="H2" s="1">
        <f t="shared" ref="H2:H20" si="0">E2+F2+G2</f>
        <v>3223.36</v>
      </c>
      <c r="I2" s="1">
        <f t="shared" ref="I2:I20" si="1">D2+H2</f>
        <v>67690.36</v>
      </c>
      <c r="J2">
        <f>MONTH(DATEVALUE(GST_FY2526[[#This Row],[Month]]&amp;" 1"))</f>
        <v>4</v>
      </c>
    </row>
    <row r="3" spans="1:10" x14ac:dyDescent="0.2">
      <c r="A3" t="s">
        <v>7</v>
      </c>
      <c r="B3" t="s">
        <v>16</v>
      </c>
      <c r="C3" t="s">
        <v>37</v>
      </c>
      <c r="D3" s="1">
        <v>543926</v>
      </c>
      <c r="E3">
        <v>0</v>
      </c>
      <c r="F3" s="1">
        <v>13598.16</v>
      </c>
      <c r="G3" s="1">
        <v>13598.16</v>
      </c>
      <c r="H3" s="1">
        <f t="shared" si="0"/>
        <v>27196.32</v>
      </c>
      <c r="I3" s="1">
        <f t="shared" si="1"/>
        <v>571122.31999999995</v>
      </c>
      <c r="J3">
        <f>MONTH(DATEVALUE(GST_FY2526[[#This Row],[Month]]&amp;" 1"))</f>
        <v>4</v>
      </c>
    </row>
    <row r="4" spans="1:10" x14ac:dyDescent="0.2">
      <c r="A4" t="s">
        <v>7</v>
      </c>
      <c r="B4" t="s">
        <v>17</v>
      </c>
      <c r="C4" t="s">
        <v>38</v>
      </c>
      <c r="D4" s="1">
        <v>183908</v>
      </c>
      <c r="E4">
        <v>0</v>
      </c>
      <c r="F4" s="1">
        <v>4597.7</v>
      </c>
      <c r="G4" s="1">
        <v>4597.7</v>
      </c>
      <c r="H4" s="1">
        <f t="shared" si="0"/>
        <v>9195.4</v>
      </c>
      <c r="I4" s="1">
        <f t="shared" si="1"/>
        <v>193103.4</v>
      </c>
      <c r="J4">
        <f>MONTH(DATEVALUE(GST_FY2526[[#This Row],[Month]]&amp;" 1"))</f>
        <v>4</v>
      </c>
    </row>
    <row r="5" spans="1:10" x14ac:dyDescent="0.2">
      <c r="A5" t="s">
        <v>7</v>
      </c>
      <c r="B5" t="s">
        <v>18</v>
      </c>
      <c r="C5" t="s">
        <v>39</v>
      </c>
      <c r="D5" s="1">
        <v>350884</v>
      </c>
      <c r="E5">
        <v>0</v>
      </c>
      <c r="F5" s="1">
        <v>8772.11</v>
      </c>
      <c r="G5" s="1">
        <v>8772.11</v>
      </c>
      <c r="H5" s="1">
        <f t="shared" si="0"/>
        <v>17544.22</v>
      </c>
      <c r="I5" s="1">
        <f t="shared" si="1"/>
        <v>368428.22</v>
      </c>
      <c r="J5">
        <f>MONTH(DATEVALUE(GST_FY2526[[#This Row],[Month]]&amp;" 1"))</f>
        <v>4</v>
      </c>
    </row>
    <row r="6" spans="1:10" x14ac:dyDescent="0.2">
      <c r="A6" t="s">
        <v>7</v>
      </c>
      <c r="B6" t="s">
        <v>19</v>
      </c>
      <c r="C6" t="s">
        <v>40</v>
      </c>
      <c r="D6" s="1">
        <v>350989</v>
      </c>
      <c r="E6">
        <v>0</v>
      </c>
      <c r="F6" s="1">
        <v>8774.73</v>
      </c>
      <c r="G6" s="1">
        <v>8774.73</v>
      </c>
      <c r="H6" s="1">
        <f t="shared" si="0"/>
        <v>17549.46</v>
      </c>
      <c r="I6" s="1">
        <f t="shared" si="1"/>
        <v>368538.46</v>
      </c>
      <c r="J6">
        <f>MONTH(DATEVALUE(GST_FY2526[[#This Row],[Month]]&amp;" 1"))</f>
        <v>4</v>
      </c>
    </row>
    <row r="7" spans="1:10" x14ac:dyDescent="0.2">
      <c r="A7" t="s">
        <v>8</v>
      </c>
      <c r="B7" t="s">
        <v>15</v>
      </c>
      <c r="C7" t="s">
        <v>36</v>
      </c>
      <c r="D7" s="1">
        <v>282552</v>
      </c>
      <c r="E7">
        <v>0</v>
      </c>
      <c r="F7" s="1">
        <v>7063.81</v>
      </c>
      <c r="G7" s="1">
        <v>7063.81</v>
      </c>
      <c r="H7" s="1">
        <f t="shared" si="0"/>
        <v>14127.62</v>
      </c>
      <c r="I7" s="1">
        <f t="shared" si="1"/>
        <v>296679.62</v>
      </c>
      <c r="J7">
        <f>MONTH(DATEVALUE(GST_FY2526[[#This Row],[Month]]&amp;" 1"))</f>
        <v>5</v>
      </c>
    </row>
    <row r="8" spans="1:10" x14ac:dyDescent="0.2">
      <c r="A8" t="s">
        <v>8</v>
      </c>
      <c r="B8" t="s">
        <v>16</v>
      </c>
      <c r="C8" t="s">
        <v>37</v>
      </c>
      <c r="D8" s="1">
        <v>122582</v>
      </c>
      <c r="E8">
        <v>0</v>
      </c>
      <c r="F8" s="1">
        <v>3064.56</v>
      </c>
      <c r="G8" s="1">
        <v>3064.56</v>
      </c>
      <c r="H8" s="1">
        <f t="shared" si="0"/>
        <v>6129.12</v>
      </c>
      <c r="I8" s="1">
        <f t="shared" si="1"/>
        <v>128711.12</v>
      </c>
      <c r="J8">
        <f>MONTH(DATEVALUE(GST_FY2526[[#This Row],[Month]]&amp;" 1"))</f>
        <v>5</v>
      </c>
    </row>
    <row r="9" spans="1:10" x14ac:dyDescent="0.2">
      <c r="A9" t="s">
        <v>8</v>
      </c>
      <c r="B9" t="s">
        <v>18</v>
      </c>
      <c r="C9" t="s">
        <v>39</v>
      </c>
      <c r="D9" s="1">
        <v>163988</v>
      </c>
      <c r="E9">
        <v>0</v>
      </c>
      <c r="F9" s="1">
        <v>4099.71</v>
      </c>
      <c r="G9" s="1">
        <v>4099.71</v>
      </c>
      <c r="H9" s="1">
        <f t="shared" si="0"/>
        <v>8199.42</v>
      </c>
      <c r="I9" s="1">
        <f t="shared" si="1"/>
        <v>172187.42</v>
      </c>
      <c r="J9">
        <f>MONTH(DATEVALUE(GST_FY2526[[#This Row],[Month]]&amp;" 1"))</f>
        <v>5</v>
      </c>
    </row>
    <row r="10" spans="1:10" x14ac:dyDescent="0.2">
      <c r="A10" t="s">
        <v>9</v>
      </c>
      <c r="B10" t="s">
        <v>17</v>
      </c>
      <c r="C10" t="s">
        <v>38</v>
      </c>
      <c r="D10" s="1">
        <v>331695</v>
      </c>
      <c r="E10">
        <v>0</v>
      </c>
      <c r="F10" s="1">
        <v>8292.3799999999992</v>
      </c>
      <c r="G10" s="1">
        <v>8292.3799999999992</v>
      </c>
      <c r="H10" s="1">
        <f t="shared" si="0"/>
        <v>16584.759999999998</v>
      </c>
      <c r="I10" s="1">
        <f t="shared" si="1"/>
        <v>348279.76</v>
      </c>
      <c r="J10">
        <f>MONTH(DATEVALUE(GST_FY2526[[#This Row],[Month]]&amp;" 1"))</f>
        <v>6</v>
      </c>
    </row>
    <row r="11" spans="1:10" x14ac:dyDescent="0.2">
      <c r="A11" t="s">
        <v>9</v>
      </c>
      <c r="B11" t="s">
        <v>18</v>
      </c>
      <c r="C11" t="s">
        <v>39</v>
      </c>
      <c r="D11" s="1">
        <v>441419</v>
      </c>
      <c r="E11">
        <v>0</v>
      </c>
      <c r="F11" s="1">
        <v>11035.5</v>
      </c>
      <c r="G11" s="1">
        <v>11035.5</v>
      </c>
      <c r="H11" s="1">
        <f t="shared" si="0"/>
        <v>22071</v>
      </c>
      <c r="I11" s="1">
        <f t="shared" si="1"/>
        <v>463490</v>
      </c>
      <c r="J11">
        <f>MONTH(DATEVALUE(GST_FY2526[[#This Row],[Month]]&amp;" 1"))</f>
        <v>6</v>
      </c>
    </row>
    <row r="12" spans="1:10" x14ac:dyDescent="0.2">
      <c r="A12" t="s">
        <v>21</v>
      </c>
      <c r="B12" t="s">
        <v>17</v>
      </c>
      <c r="C12" t="s">
        <v>38</v>
      </c>
      <c r="D12" s="1">
        <v>40568</v>
      </c>
      <c r="E12">
        <v>0</v>
      </c>
      <c r="F12" s="1">
        <v>1014.2</v>
      </c>
      <c r="G12" s="1">
        <v>1014.2</v>
      </c>
      <c r="H12" s="1">
        <f t="shared" si="0"/>
        <v>2028.4</v>
      </c>
      <c r="I12" s="1">
        <f t="shared" si="1"/>
        <v>42596.4</v>
      </c>
      <c r="J12">
        <f>MONTH(DATEVALUE(GST_FY2526[[#This Row],[Month]]&amp;" 1"))</f>
        <v>7</v>
      </c>
    </row>
    <row r="13" spans="1:10" x14ac:dyDescent="0.2">
      <c r="A13" t="s">
        <v>21</v>
      </c>
      <c r="B13" t="s">
        <v>18</v>
      </c>
      <c r="C13" t="s">
        <v>39</v>
      </c>
      <c r="D13" s="1">
        <v>25485</v>
      </c>
      <c r="E13">
        <v>0</v>
      </c>
      <c r="F13">
        <v>637.13</v>
      </c>
      <c r="G13">
        <v>637.13</v>
      </c>
      <c r="H13" s="1">
        <f t="shared" si="0"/>
        <v>1274.26</v>
      </c>
      <c r="I13" s="1">
        <f t="shared" si="1"/>
        <v>26759.26</v>
      </c>
      <c r="J13">
        <f>MONTH(DATEVALUE(GST_FY2526[[#This Row],[Month]]&amp;" 1"))</f>
        <v>7</v>
      </c>
    </row>
    <row r="14" spans="1:10" x14ac:dyDescent="0.2">
      <c r="A14" t="s">
        <v>10</v>
      </c>
      <c r="B14" t="s">
        <v>18</v>
      </c>
      <c r="C14" t="s">
        <v>39</v>
      </c>
      <c r="D14" s="1">
        <v>186414</v>
      </c>
      <c r="E14">
        <v>0</v>
      </c>
      <c r="F14" s="1">
        <v>4660.3500000000004</v>
      </c>
      <c r="G14" s="1">
        <v>4660.3500000000004</v>
      </c>
      <c r="H14" s="1">
        <f t="shared" si="0"/>
        <v>9320.7000000000007</v>
      </c>
      <c r="I14" s="1">
        <f t="shared" si="1"/>
        <v>195734.7</v>
      </c>
      <c r="J14">
        <f>MONTH(DATEVALUE(GST_FY2526[[#This Row],[Month]]&amp;" 1"))</f>
        <v>8</v>
      </c>
    </row>
    <row r="15" spans="1:10" x14ac:dyDescent="0.2">
      <c r="A15" t="s">
        <v>10</v>
      </c>
      <c r="B15" t="s">
        <v>19</v>
      </c>
      <c r="C15" t="s">
        <v>40</v>
      </c>
      <c r="D15" s="1">
        <v>180145</v>
      </c>
      <c r="E15">
        <v>0</v>
      </c>
      <c r="F15" s="1">
        <v>4503.63</v>
      </c>
      <c r="G15" s="1">
        <v>4503.63</v>
      </c>
      <c r="H15" s="1">
        <f t="shared" si="0"/>
        <v>9007.26</v>
      </c>
      <c r="I15" s="1">
        <f t="shared" si="1"/>
        <v>189152.26</v>
      </c>
      <c r="J15">
        <f>MONTH(DATEVALUE(GST_FY2526[[#This Row],[Month]]&amp;" 1"))</f>
        <v>8</v>
      </c>
    </row>
    <row r="16" spans="1:10" x14ac:dyDescent="0.2">
      <c r="A16" t="s">
        <v>10</v>
      </c>
      <c r="B16" t="s">
        <v>22</v>
      </c>
      <c r="C16" t="s">
        <v>41</v>
      </c>
      <c r="D16" s="1">
        <v>229947</v>
      </c>
      <c r="E16">
        <v>0</v>
      </c>
      <c r="F16" s="1">
        <v>5748.68</v>
      </c>
      <c r="G16" s="1">
        <v>5748.68</v>
      </c>
      <c r="H16" s="1">
        <f t="shared" si="0"/>
        <v>11497.36</v>
      </c>
      <c r="I16" s="1">
        <f t="shared" si="1"/>
        <v>241444.36</v>
      </c>
      <c r="J16">
        <f>MONTH(DATEVALUE(GST_FY2526[[#This Row],[Month]]&amp;" 1"))</f>
        <v>8</v>
      </c>
    </row>
    <row r="17" spans="1:10" x14ac:dyDescent="0.2">
      <c r="A17" t="s">
        <v>10</v>
      </c>
      <c r="B17" t="s">
        <v>23</v>
      </c>
      <c r="C17" t="s">
        <v>42</v>
      </c>
      <c r="D17" s="1">
        <v>97691</v>
      </c>
      <c r="E17">
        <v>0</v>
      </c>
      <c r="F17" s="1">
        <v>2442.2800000000002</v>
      </c>
      <c r="G17" s="1">
        <v>2442.2800000000002</v>
      </c>
      <c r="H17" s="1">
        <f t="shared" si="0"/>
        <v>4884.5600000000004</v>
      </c>
      <c r="I17" s="1">
        <f t="shared" si="1"/>
        <v>102575.56</v>
      </c>
      <c r="J17">
        <f>MONTH(DATEVALUE(GST_FY2526[[#This Row],[Month]]&amp;" 1"))</f>
        <v>8</v>
      </c>
    </row>
    <row r="18" spans="1:10" x14ac:dyDescent="0.2">
      <c r="A18" t="s">
        <v>11</v>
      </c>
      <c r="B18" t="s">
        <v>17</v>
      </c>
      <c r="C18" t="s">
        <v>38</v>
      </c>
      <c r="D18" s="1">
        <v>45887</v>
      </c>
      <c r="E18">
        <v>0</v>
      </c>
      <c r="F18" s="1">
        <v>1147.18</v>
      </c>
      <c r="G18" s="1">
        <v>1147.18</v>
      </c>
      <c r="H18" s="1">
        <f t="shared" si="0"/>
        <v>2294.36</v>
      </c>
      <c r="I18" s="1">
        <f t="shared" si="1"/>
        <v>48181.36</v>
      </c>
      <c r="J18">
        <f>MONTH(DATEVALUE(GST_FY2526[[#This Row],[Month]]&amp;" 1"))</f>
        <v>9</v>
      </c>
    </row>
    <row r="19" spans="1:10" x14ac:dyDescent="0.2">
      <c r="A19" t="s">
        <v>11</v>
      </c>
      <c r="B19" t="s">
        <v>18</v>
      </c>
      <c r="C19" t="s">
        <v>39</v>
      </c>
      <c r="D19" s="1">
        <v>36753</v>
      </c>
      <c r="E19">
        <v>0</v>
      </c>
      <c r="F19">
        <v>918.83</v>
      </c>
      <c r="G19">
        <v>918.83</v>
      </c>
      <c r="H19" s="1">
        <f t="shared" si="0"/>
        <v>1837.66</v>
      </c>
      <c r="I19" s="1">
        <f t="shared" si="1"/>
        <v>38590.660000000003</v>
      </c>
      <c r="J19">
        <f>MONTH(DATEVALUE(GST_FY2526[[#This Row],[Month]]&amp;" 1"))</f>
        <v>9</v>
      </c>
    </row>
    <row r="20" spans="1:10" x14ac:dyDescent="0.2">
      <c r="A20" t="s">
        <v>12</v>
      </c>
      <c r="B20" t="s">
        <v>24</v>
      </c>
      <c r="C20" t="s">
        <v>43</v>
      </c>
      <c r="D20" s="1">
        <v>73511</v>
      </c>
      <c r="E20">
        <v>0</v>
      </c>
      <c r="F20" s="1">
        <v>1837.78</v>
      </c>
      <c r="G20" s="1">
        <v>1837.78</v>
      </c>
      <c r="H20" s="1">
        <f t="shared" si="0"/>
        <v>3675.56</v>
      </c>
      <c r="I20" s="1">
        <f t="shared" si="1"/>
        <v>77186.559999999998</v>
      </c>
      <c r="J20">
        <f>MONTH(DATEVALUE(GST_FY2526[[#This Row],[Month]]&amp;" 1"))</f>
        <v>10</v>
      </c>
    </row>
    <row r="21" spans="1:10" x14ac:dyDescent="0.2">
      <c r="A21" t="s">
        <v>12</v>
      </c>
      <c r="B21" t="s">
        <v>17</v>
      </c>
      <c r="C21" t="s">
        <v>38</v>
      </c>
      <c r="D21" s="1">
        <v>215610</v>
      </c>
      <c r="E21">
        <v>0</v>
      </c>
      <c r="F21" s="1">
        <v>5390.25</v>
      </c>
      <c r="G21" s="1">
        <v>5390.25</v>
      </c>
      <c r="H21" s="1">
        <f t="shared" ref="H21:H42" si="2">E21+F21+G21</f>
        <v>10780.5</v>
      </c>
      <c r="I21" s="1">
        <f t="shared" ref="I21:I42" si="3">D21+H21</f>
        <v>226390.5</v>
      </c>
      <c r="J21">
        <f>MONTH(DATEVALUE(GST_FY2526[[#This Row],[Month]]&amp;" 1"))</f>
        <v>10</v>
      </c>
    </row>
    <row r="22" spans="1:10" x14ac:dyDescent="0.2">
      <c r="A22" t="s">
        <v>12</v>
      </c>
      <c r="B22" t="s">
        <v>25</v>
      </c>
      <c r="C22" t="s">
        <v>44</v>
      </c>
      <c r="D22" s="1">
        <v>115206.22</v>
      </c>
      <c r="E22">
        <v>0</v>
      </c>
      <c r="F22" s="1">
        <v>2880.16</v>
      </c>
      <c r="G22" s="1">
        <v>2880.16</v>
      </c>
      <c r="H22" s="1">
        <f t="shared" si="2"/>
        <v>5760.32</v>
      </c>
      <c r="I22" s="1">
        <f t="shared" si="3"/>
        <v>120966.54000000001</v>
      </c>
      <c r="J22">
        <f>MONTH(DATEVALUE(GST_FY2526[[#This Row],[Month]]&amp;" 1"))</f>
        <v>10</v>
      </c>
    </row>
    <row r="23" spans="1:10" x14ac:dyDescent="0.2">
      <c r="A23" t="s">
        <v>12</v>
      </c>
      <c r="B23" t="s">
        <v>26</v>
      </c>
      <c r="C23" t="s">
        <v>45</v>
      </c>
      <c r="D23" s="1">
        <v>576370</v>
      </c>
      <c r="E23">
        <v>0</v>
      </c>
      <c r="F23" s="1">
        <v>14409.25</v>
      </c>
      <c r="G23" s="1">
        <v>14409.25</v>
      </c>
      <c r="H23" s="1">
        <f t="shared" si="2"/>
        <v>28818.5</v>
      </c>
      <c r="I23" s="1">
        <f t="shared" si="3"/>
        <v>605188.5</v>
      </c>
      <c r="J23">
        <f>MONTH(DATEVALUE(GST_FY2526[[#This Row],[Month]]&amp;" 1"))</f>
        <v>10</v>
      </c>
    </row>
    <row r="24" spans="1:10" x14ac:dyDescent="0.2">
      <c r="A24" t="s">
        <v>12</v>
      </c>
      <c r="B24" t="s">
        <v>18</v>
      </c>
      <c r="C24" t="s">
        <v>39</v>
      </c>
      <c r="D24" s="1">
        <v>2778429</v>
      </c>
      <c r="E24">
        <v>0</v>
      </c>
      <c r="F24" s="1">
        <v>69460.75</v>
      </c>
      <c r="G24" s="1">
        <v>69460.75</v>
      </c>
      <c r="H24" s="1">
        <f t="shared" si="2"/>
        <v>138921.5</v>
      </c>
      <c r="I24" s="1">
        <f t="shared" si="3"/>
        <v>2917350.5</v>
      </c>
      <c r="J24">
        <f>MONTH(DATEVALUE(GST_FY2526[[#This Row],[Month]]&amp;" 1"))</f>
        <v>10</v>
      </c>
    </row>
    <row r="25" spans="1:10" ht="32" x14ac:dyDescent="0.2">
      <c r="A25" t="s">
        <v>12</v>
      </c>
      <c r="B25" s="2" t="s">
        <v>27</v>
      </c>
      <c r="C25" t="s">
        <v>40</v>
      </c>
      <c r="D25" s="1">
        <v>60979</v>
      </c>
      <c r="E25">
        <v>0</v>
      </c>
      <c r="F25" s="1">
        <v>1524.48</v>
      </c>
      <c r="G25" s="1">
        <v>1524.48</v>
      </c>
      <c r="H25" s="1">
        <f t="shared" si="2"/>
        <v>3048.96</v>
      </c>
      <c r="I25" s="1">
        <f t="shared" si="3"/>
        <v>64027.96</v>
      </c>
      <c r="J25">
        <f>MONTH(DATEVALUE(GST_FY2526[[#This Row],[Month]]&amp;" 1"))</f>
        <v>10</v>
      </c>
    </row>
    <row r="26" spans="1:10" ht="32" x14ac:dyDescent="0.2">
      <c r="A26" t="s">
        <v>12</v>
      </c>
      <c r="B26" s="2" t="s">
        <v>28</v>
      </c>
      <c r="C26" t="s">
        <v>46</v>
      </c>
      <c r="D26" s="1">
        <v>634509</v>
      </c>
      <c r="E26">
        <v>0</v>
      </c>
      <c r="F26" s="1">
        <v>15862.73</v>
      </c>
      <c r="G26" s="1">
        <v>15862.73</v>
      </c>
      <c r="H26" s="1">
        <f t="shared" si="2"/>
        <v>31725.46</v>
      </c>
      <c r="I26" s="1">
        <f t="shared" si="3"/>
        <v>666234.46</v>
      </c>
      <c r="J26">
        <f>MONTH(DATEVALUE(GST_FY2526[[#This Row],[Month]]&amp;" 1"))</f>
        <v>10</v>
      </c>
    </row>
    <row r="27" spans="1:10" x14ac:dyDescent="0.2">
      <c r="A27" t="s">
        <v>12</v>
      </c>
      <c r="B27" t="s">
        <v>29</v>
      </c>
      <c r="C27" t="s">
        <v>47</v>
      </c>
      <c r="D27" s="1">
        <v>286266</v>
      </c>
      <c r="E27">
        <v>0</v>
      </c>
      <c r="F27" s="1">
        <v>7156.66</v>
      </c>
      <c r="G27" s="1">
        <v>7156.66</v>
      </c>
      <c r="H27" s="1">
        <f t="shared" si="2"/>
        <v>14313.32</v>
      </c>
      <c r="I27" s="1">
        <f t="shared" si="3"/>
        <v>300579.32</v>
      </c>
      <c r="J27">
        <f>MONTH(DATEVALUE(GST_FY2526[[#This Row],[Month]]&amp;" 1"))</f>
        <v>10</v>
      </c>
    </row>
    <row r="28" spans="1:10" x14ac:dyDescent="0.2">
      <c r="A28" t="s">
        <v>12</v>
      </c>
      <c r="B28" t="s">
        <v>30</v>
      </c>
      <c r="C28" t="s">
        <v>48</v>
      </c>
      <c r="D28" s="1">
        <v>95493</v>
      </c>
      <c r="E28">
        <v>0</v>
      </c>
      <c r="F28" s="1">
        <v>2387.33</v>
      </c>
      <c r="G28" s="1">
        <v>2387.33</v>
      </c>
      <c r="H28" s="1">
        <f t="shared" si="2"/>
        <v>4774.66</v>
      </c>
      <c r="I28" s="1">
        <f t="shared" si="3"/>
        <v>100267.66</v>
      </c>
      <c r="J28">
        <f>MONTH(DATEVALUE(GST_FY2526[[#This Row],[Month]]&amp;" 1"))</f>
        <v>10</v>
      </c>
    </row>
    <row r="29" spans="1:10" x14ac:dyDescent="0.2">
      <c r="A29" t="s">
        <v>12</v>
      </c>
      <c r="B29" t="s">
        <v>31</v>
      </c>
      <c r="C29" t="s">
        <v>49</v>
      </c>
      <c r="D29" s="1">
        <v>247616</v>
      </c>
      <c r="E29">
        <v>0</v>
      </c>
      <c r="F29" s="1">
        <v>6190.4</v>
      </c>
      <c r="G29" s="1">
        <v>6190.4</v>
      </c>
      <c r="H29" s="1">
        <f t="shared" si="2"/>
        <v>12380.8</v>
      </c>
      <c r="I29" s="1">
        <f t="shared" si="3"/>
        <v>259996.79999999999</v>
      </c>
      <c r="J29">
        <f>MONTH(DATEVALUE(GST_FY2526[[#This Row],[Month]]&amp;" 1"))</f>
        <v>10</v>
      </c>
    </row>
    <row r="30" spans="1:10" x14ac:dyDescent="0.2">
      <c r="A30" t="s">
        <v>12</v>
      </c>
      <c r="B30" t="s">
        <v>23</v>
      </c>
      <c r="C30" t="s">
        <v>42</v>
      </c>
      <c r="D30" s="1">
        <v>377432</v>
      </c>
      <c r="E30">
        <v>0</v>
      </c>
      <c r="F30" s="1">
        <v>9435.7999999999993</v>
      </c>
      <c r="G30" s="1">
        <v>9435.7999999999993</v>
      </c>
      <c r="H30" s="1">
        <f t="shared" si="2"/>
        <v>18871.599999999999</v>
      </c>
      <c r="I30" s="1">
        <f t="shared" si="3"/>
        <v>396303.6</v>
      </c>
      <c r="J30">
        <f>MONTH(DATEVALUE(GST_FY2526[[#This Row],[Month]]&amp;" 1"))</f>
        <v>10</v>
      </c>
    </row>
    <row r="31" spans="1:10" x14ac:dyDescent="0.2">
      <c r="A31" t="s">
        <v>13</v>
      </c>
      <c r="B31" t="s">
        <v>24</v>
      </c>
      <c r="C31" t="s">
        <v>43</v>
      </c>
      <c r="D31" s="1">
        <v>109507</v>
      </c>
      <c r="E31">
        <v>0</v>
      </c>
      <c r="F31" s="1">
        <v>2737.68</v>
      </c>
      <c r="G31" s="1">
        <v>2737.68</v>
      </c>
      <c r="H31" s="1">
        <f t="shared" si="2"/>
        <v>5475.36</v>
      </c>
      <c r="I31" s="1">
        <f t="shared" si="3"/>
        <v>114982.36</v>
      </c>
      <c r="J31">
        <f>MONTH(DATEVALUE(GST_FY2526[[#This Row],[Month]]&amp;" 1"))</f>
        <v>11</v>
      </c>
    </row>
    <row r="32" spans="1:10" x14ac:dyDescent="0.2">
      <c r="A32" t="s">
        <v>13</v>
      </c>
      <c r="B32" t="s">
        <v>17</v>
      </c>
      <c r="C32" t="s">
        <v>38</v>
      </c>
      <c r="D32" s="1">
        <v>418128</v>
      </c>
      <c r="E32">
        <v>0</v>
      </c>
      <c r="F32" s="1">
        <v>10453.219999999999</v>
      </c>
      <c r="G32" s="1">
        <v>10453.219999999999</v>
      </c>
      <c r="H32" s="1">
        <f t="shared" si="2"/>
        <v>20906.439999999999</v>
      </c>
      <c r="I32" s="1">
        <f t="shared" si="3"/>
        <v>439034.44</v>
      </c>
      <c r="J32">
        <f>MONTH(DATEVALUE(GST_FY2526[[#This Row],[Month]]&amp;" 1"))</f>
        <v>11</v>
      </c>
    </row>
    <row r="33" spans="1:10" x14ac:dyDescent="0.2">
      <c r="A33" t="s">
        <v>13</v>
      </c>
      <c r="B33" t="s">
        <v>25</v>
      </c>
      <c r="C33" t="s">
        <v>44</v>
      </c>
      <c r="D33" s="1">
        <v>237725</v>
      </c>
      <c r="E33">
        <v>0</v>
      </c>
      <c r="F33" s="1">
        <v>5943.13</v>
      </c>
      <c r="G33" s="1">
        <v>5943.13</v>
      </c>
      <c r="H33" s="1">
        <f t="shared" si="2"/>
        <v>11886.26</v>
      </c>
      <c r="I33" s="1">
        <f t="shared" si="3"/>
        <v>249611.26</v>
      </c>
      <c r="J33">
        <f>MONTH(DATEVALUE(GST_FY2526[[#This Row],[Month]]&amp;" 1"))</f>
        <v>11</v>
      </c>
    </row>
    <row r="34" spans="1:10" x14ac:dyDescent="0.2">
      <c r="A34" t="s">
        <v>13</v>
      </c>
      <c r="B34" t="s">
        <v>32</v>
      </c>
      <c r="C34" t="s">
        <v>50</v>
      </c>
      <c r="D34" s="1">
        <v>1159355</v>
      </c>
      <c r="E34">
        <v>0</v>
      </c>
      <c r="F34" s="1">
        <v>28983.89</v>
      </c>
      <c r="G34" s="1">
        <v>28983.89</v>
      </c>
      <c r="H34" s="1">
        <f t="shared" si="2"/>
        <v>57967.78</v>
      </c>
      <c r="I34" s="1">
        <f t="shared" si="3"/>
        <v>1217322.78</v>
      </c>
      <c r="J34">
        <f>MONTH(DATEVALUE(GST_FY2526[[#This Row],[Month]]&amp;" 1"))</f>
        <v>11</v>
      </c>
    </row>
    <row r="35" spans="1:10" x14ac:dyDescent="0.2">
      <c r="A35" t="s">
        <v>13</v>
      </c>
      <c r="B35" t="s">
        <v>33</v>
      </c>
      <c r="C35" t="s">
        <v>51</v>
      </c>
      <c r="D35" s="1">
        <v>235661</v>
      </c>
      <c r="E35">
        <v>0</v>
      </c>
      <c r="F35" s="1">
        <v>5891.53</v>
      </c>
      <c r="G35" s="1">
        <v>5891.53</v>
      </c>
      <c r="H35" s="1">
        <f t="shared" si="2"/>
        <v>11783.06</v>
      </c>
      <c r="I35" s="1">
        <f t="shared" si="3"/>
        <v>247444.06</v>
      </c>
      <c r="J35">
        <f>MONTH(DATEVALUE(GST_FY2526[[#This Row],[Month]]&amp;" 1"))</f>
        <v>11</v>
      </c>
    </row>
    <row r="36" spans="1:10" x14ac:dyDescent="0.2">
      <c r="A36" t="s">
        <v>13</v>
      </c>
      <c r="B36" t="s">
        <v>18</v>
      </c>
      <c r="C36" t="s">
        <v>39</v>
      </c>
      <c r="D36" s="1">
        <v>515941</v>
      </c>
      <c r="E36">
        <v>0</v>
      </c>
      <c r="F36" s="1">
        <v>12898.53</v>
      </c>
      <c r="G36" s="1">
        <v>12898.53</v>
      </c>
      <c r="H36" s="1">
        <f t="shared" si="2"/>
        <v>25797.06</v>
      </c>
      <c r="I36" s="1">
        <f t="shared" si="3"/>
        <v>541738.06000000006</v>
      </c>
      <c r="J36">
        <f>MONTH(DATEVALUE(GST_FY2526[[#This Row],[Month]]&amp;" 1"))</f>
        <v>11</v>
      </c>
    </row>
    <row r="37" spans="1:10" x14ac:dyDescent="0.2">
      <c r="A37" t="s">
        <v>13</v>
      </c>
      <c r="B37" t="s">
        <v>19</v>
      </c>
      <c r="C37" t="s">
        <v>40</v>
      </c>
      <c r="D37" s="1">
        <v>401046</v>
      </c>
      <c r="E37">
        <v>0</v>
      </c>
      <c r="F37" s="1">
        <v>10026.16</v>
      </c>
      <c r="G37" s="1">
        <v>10026.16</v>
      </c>
      <c r="H37" s="1">
        <f t="shared" si="2"/>
        <v>20052.32</v>
      </c>
      <c r="I37" s="1">
        <f t="shared" si="3"/>
        <v>421098.32</v>
      </c>
      <c r="J37">
        <f>MONTH(DATEVALUE(GST_FY2526[[#This Row],[Month]]&amp;" 1"))</f>
        <v>11</v>
      </c>
    </row>
    <row r="38" spans="1:10" x14ac:dyDescent="0.2">
      <c r="A38" t="s">
        <v>13</v>
      </c>
      <c r="B38" t="s">
        <v>23</v>
      </c>
      <c r="C38" t="s">
        <v>42</v>
      </c>
      <c r="D38" s="1">
        <v>241820</v>
      </c>
      <c r="E38">
        <v>0</v>
      </c>
      <c r="F38" s="1">
        <v>6045.51</v>
      </c>
      <c r="G38" s="1">
        <v>6045.51</v>
      </c>
      <c r="H38" s="1">
        <f t="shared" si="2"/>
        <v>12091.02</v>
      </c>
      <c r="I38" s="1">
        <f t="shared" si="3"/>
        <v>253911.02</v>
      </c>
      <c r="J38">
        <f>MONTH(DATEVALUE(GST_FY2526[[#This Row],[Month]]&amp;" 1"))</f>
        <v>11</v>
      </c>
    </row>
    <row r="39" spans="1:10" x14ac:dyDescent="0.2">
      <c r="A39" t="s">
        <v>14</v>
      </c>
      <c r="B39" t="s">
        <v>34</v>
      </c>
      <c r="C39" t="s">
        <v>52</v>
      </c>
      <c r="D39" s="1">
        <v>512544</v>
      </c>
      <c r="E39">
        <v>0</v>
      </c>
      <c r="F39" s="1">
        <v>12813.61</v>
      </c>
      <c r="G39" s="1">
        <v>12813.61</v>
      </c>
      <c r="H39" s="1">
        <f t="shared" si="2"/>
        <v>25627.22</v>
      </c>
      <c r="I39" s="1">
        <f t="shared" si="3"/>
        <v>538171.22</v>
      </c>
      <c r="J39">
        <f>MONTH(DATEVALUE(GST_FY2526[[#This Row],[Month]]&amp;" 1"))</f>
        <v>12</v>
      </c>
    </row>
    <row r="40" spans="1:10" x14ac:dyDescent="0.2">
      <c r="A40" t="s">
        <v>14</v>
      </c>
      <c r="B40" t="s">
        <v>17</v>
      </c>
      <c r="C40" t="s">
        <v>38</v>
      </c>
      <c r="D40" s="1">
        <v>250267</v>
      </c>
      <c r="E40">
        <v>0</v>
      </c>
      <c r="F40" s="1">
        <v>6256.68</v>
      </c>
      <c r="G40" s="1">
        <v>6256.68</v>
      </c>
      <c r="H40" s="1">
        <f t="shared" si="2"/>
        <v>12513.36</v>
      </c>
      <c r="I40" s="1">
        <f t="shared" si="3"/>
        <v>262780.36</v>
      </c>
      <c r="J40">
        <f>MONTH(DATEVALUE(GST_FY2526[[#This Row],[Month]]&amp;" 1"))</f>
        <v>12</v>
      </c>
    </row>
    <row r="41" spans="1:10" x14ac:dyDescent="0.2">
      <c r="A41" t="s">
        <v>14</v>
      </c>
      <c r="B41" t="s">
        <v>18</v>
      </c>
      <c r="C41" t="s">
        <v>39</v>
      </c>
      <c r="D41" s="1">
        <v>864029</v>
      </c>
      <c r="E41">
        <v>0</v>
      </c>
      <c r="F41" s="1">
        <v>21600.75</v>
      </c>
      <c r="G41" s="1">
        <v>21600.75</v>
      </c>
      <c r="H41" s="1">
        <f t="shared" si="2"/>
        <v>43201.5</v>
      </c>
      <c r="I41" s="1">
        <f t="shared" si="3"/>
        <v>907230.5</v>
      </c>
      <c r="J41">
        <f>MONTH(DATEVALUE(GST_FY2526[[#This Row],[Month]]&amp;" 1"))</f>
        <v>12</v>
      </c>
    </row>
    <row r="42" spans="1:10" x14ac:dyDescent="0.2">
      <c r="A42" t="s">
        <v>14</v>
      </c>
      <c r="B42" t="s">
        <v>23</v>
      </c>
      <c r="C42" t="s">
        <v>42</v>
      </c>
      <c r="D42" s="1">
        <v>715070</v>
      </c>
      <c r="E42">
        <v>0</v>
      </c>
      <c r="F42" s="1">
        <v>17876.759999999998</v>
      </c>
      <c r="G42" s="1">
        <v>17876.759999999998</v>
      </c>
      <c r="H42" s="1">
        <f t="shared" si="2"/>
        <v>35753.519999999997</v>
      </c>
      <c r="I42" s="1">
        <f t="shared" si="3"/>
        <v>750823.52</v>
      </c>
      <c r="J42">
        <f>MONTH(DATEVALUE(GST_FY2526[[#This Row],[Month]]&amp;" 1"))</f>
        <v>12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Sangamesh Dadge</dc:creator>
  <cp:lastModifiedBy>Office</cp:lastModifiedBy>
  <dcterms:created xsi:type="dcterms:W3CDTF">2026-01-24T19:11:30Z</dcterms:created>
  <dcterms:modified xsi:type="dcterms:W3CDTF">2026-01-29T07:59:35Z</dcterms:modified>
</cp:coreProperties>
</file>